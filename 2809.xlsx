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pivotCache/pivotCacheDefinition4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fin\Documents\UFV\MsExcel\"/>
    </mc:Choice>
  </mc:AlternateContent>
  <xr:revisionPtr revIDLastSave="0" documentId="13_ncr:1_{49AAF38A-A1FD-401E-B471-1923D5F1C8A6}" xr6:coauthVersionLast="47" xr6:coauthVersionMax="47" xr10:uidLastSave="{00000000-0000-0000-0000-000000000000}"/>
  <bookViews>
    <workbookView xWindow="-120" yWindow="-120" windowWidth="29040" windowHeight="16440" activeTab="2" xr2:uid="{31ECBE20-6B87-4B0E-816F-58ACD7975FDE}"/>
  </bookViews>
  <sheets>
    <sheet name="Hoja1" sheetId="1" r:id="rId1"/>
    <sheet name="Rangos de Edad" sheetId="6" r:id="rId2"/>
    <sheet name="txt" sheetId="10" r:id="rId3"/>
  </sheets>
  <definedNames>
    <definedName name="_xlcn.WorksheetConnection_Libro2Ventas" hidden="1">Ventas[]</definedName>
    <definedName name="SegmentaciónDeDatos_Vendedor">#N/A</definedName>
    <definedName name="Timeline_Fecha_de_Venta">#N/A</definedName>
  </definedNames>
  <calcPr calcId="181029"/>
  <pivotCaches>
    <pivotCache cacheId="15" r:id="rId4"/>
    <pivotCache cacheId="16" r:id="rId5"/>
  </pivotCaches>
  <extLst>
    <ext xmlns:x14="http://schemas.microsoft.com/office/spreadsheetml/2009/9/main" uri="{876F7934-8845-4945-9796-88D515C7AA90}">
      <x14:pivotCaches>
        <pivotCache cacheId="23" r:id="rId6"/>
      </x14:pivotCaches>
    </ex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24" r:id="rId8"/>
      </x15:timelineCachePivotCaches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" name="Ventas" connection="WorksheetConnection_Libro2!Ventas"/>
        </x15:modelTables>
      </x15:dataModel>
    </ext>
  </extLst>
</workbook>
</file>

<file path=xl/calcChain.xml><?xml version="1.0" encoding="utf-8"?>
<calcChain xmlns="http://schemas.openxmlformats.org/spreadsheetml/2006/main">
  <c r="B7" i="1" l="1"/>
  <c r="C7" i="1"/>
  <c r="D7" i="1"/>
  <c r="E7" i="1"/>
  <c r="G7" i="1"/>
  <c r="H7" i="1"/>
  <c r="I7" i="1"/>
  <c r="J7" i="1"/>
  <c r="K7" i="1"/>
  <c r="L7" i="1"/>
  <c r="M7" i="1"/>
  <c r="N3" i="1"/>
  <c r="N4" i="1"/>
  <c r="N5" i="1"/>
  <c r="N6" i="1"/>
  <c r="N2" i="1"/>
  <c r="F3" i="1"/>
  <c r="F4" i="1"/>
  <c r="F5" i="1"/>
  <c r="F6" i="1"/>
  <c r="F2" i="1"/>
  <c r="F7" i="1" l="1"/>
  <c r="N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026F27-441A-4FD0-9017-29AC101A73C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C450C7C-0798-43F2-800C-498CFFACF0E3}" name="WorksheetConnection_Libro2!Ventas" type="102" refreshedVersion="8" minRefreshableVersion="5">
    <extLst>
      <ext xmlns:x15="http://schemas.microsoft.com/office/spreadsheetml/2010/11/main" uri="{DE250136-89BD-433C-8126-D09CA5730AF9}">
        <x15:connection id="Ventas" autoDelete="1">
          <x15:rangePr sourceName="_xlcn.WorksheetConnection_Libro2Ventas"/>
        </x15:connection>
      </ext>
    </extLst>
  </connection>
</connections>
</file>

<file path=xl/sharedStrings.xml><?xml version="1.0" encoding="utf-8"?>
<sst xmlns="http://schemas.openxmlformats.org/spreadsheetml/2006/main" count="88" uniqueCount="79">
  <si>
    <t>Fecha de Venta</t>
  </si>
  <si>
    <t>ID del Producto</t>
  </si>
  <si>
    <t>Nombre del Producto</t>
  </si>
  <si>
    <t>Cantidad Vendida</t>
  </si>
  <si>
    <t>Precio Unitario</t>
  </si>
  <si>
    <t>Total de la Venta</t>
  </si>
  <si>
    <t>ID del Cliente</t>
  </si>
  <si>
    <t>Nombre del Cliente</t>
  </si>
  <si>
    <t>Región o Ubicación</t>
  </si>
  <si>
    <t>Método de Pago</t>
  </si>
  <si>
    <t>Vendedor</t>
  </si>
  <si>
    <t>Categoría del Producto</t>
  </si>
  <si>
    <t>Costo del Producto</t>
  </si>
  <si>
    <t>Margen de Beneficio</t>
  </si>
  <si>
    <t>PROD001</t>
  </si>
  <si>
    <t>Laptop Dell XPS 13</t>
  </si>
  <si>
    <t>CLI001</t>
  </si>
  <si>
    <t>Juan Pérez</t>
  </si>
  <si>
    <t>Norte</t>
  </si>
  <si>
    <t>Tarjeta de crédito</t>
  </si>
  <si>
    <t>VEND001</t>
  </si>
  <si>
    <t>Electrónicos</t>
  </si>
  <si>
    <t>PROD002</t>
  </si>
  <si>
    <t>Smartphone Samsung Galaxy S21</t>
  </si>
  <si>
    <t>CLI002</t>
  </si>
  <si>
    <t>María García</t>
  </si>
  <si>
    <t>Sur</t>
  </si>
  <si>
    <t>Efectivo</t>
  </si>
  <si>
    <t>VEND002</t>
  </si>
  <si>
    <t>PROD003</t>
  </si>
  <si>
    <t>Zapatillas Nike Air Max</t>
  </si>
  <si>
    <t>CLI003</t>
  </si>
  <si>
    <t>Carlos Rodríguez</t>
  </si>
  <si>
    <t>Este</t>
  </si>
  <si>
    <t>Transferencia bancaria</t>
  </si>
  <si>
    <t>VEND003</t>
  </si>
  <si>
    <t>Ropa y calzado</t>
  </si>
  <si>
    <t>PROD004</t>
  </si>
  <si>
    <t>Licuadora Oster</t>
  </si>
  <si>
    <t>CLI004</t>
  </si>
  <si>
    <t>Ana Martínez</t>
  </si>
  <si>
    <t>Oeste</t>
  </si>
  <si>
    <t>PayPal</t>
  </si>
  <si>
    <t>Electrodomésticos</t>
  </si>
  <si>
    <t>PROD005</t>
  </si>
  <si>
    <t>Libro "Cien años de soledad"</t>
  </si>
  <si>
    <t>CLI005</t>
  </si>
  <si>
    <t>Centro</t>
  </si>
  <si>
    <t>Tarjeta de débito</t>
  </si>
  <si>
    <t>Libros</t>
  </si>
  <si>
    <t>Total</t>
  </si>
  <si>
    <t>Etiquetas de fila</t>
  </si>
  <si>
    <t>Total general</t>
  </si>
  <si>
    <t>Suma de Total de la Venta</t>
  </si>
  <si>
    <t>Pedro Palma</t>
  </si>
  <si>
    <t>Etiquetas de columna</t>
  </si>
  <si>
    <t>Nombre</t>
  </si>
  <si>
    <t>Edad</t>
  </si>
  <si>
    <t>Antonio Román</t>
  </si>
  <si>
    <t>Elisa Mantilla</t>
  </si>
  <si>
    <t>Genoveva Pablos</t>
  </si>
  <si>
    <t>Lucas Pérez</t>
  </si>
  <si>
    <t>Pedro Martín</t>
  </si>
  <si>
    <t>Laura Santos</t>
  </si>
  <si>
    <t>Lola Nisu</t>
  </si>
  <si>
    <t>Germán Abadia</t>
  </si>
  <si>
    <t>Raúl López</t>
  </si>
  <si>
    <t>Sandra Varas</t>
  </si>
  <si>
    <t>Juan Valdes</t>
  </si>
  <si>
    <t>Cuenta de Edad</t>
  </si>
  <si>
    <t>18-27</t>
  </si>
  <si>
    <t>28-37</t>
  </si>
  <si>
    <t>38-47</t>
  </si>
  <si>
    <t>48-57</t>
  </si>
  <si>
    <t>58-67</t>
  </si>
  <si>
    <t>68-77</t>
  </si>
  <si>
    <t>nombre;edad;apellidos</t>
  </si>
  <si>
    <t>rufino;33;prieto alonso</t>
  </si>
  <si>
    <t>pepe;45;lópez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</si>
</sst>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12">
    <dxf>
      <numFmt numFmtId="1" formatCode="0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9" formatCode="dd/mm/yyyy"/>
    </dxf>
    <dxf>
      <numFmt numFmtId="19" formatCode="dd/mm/yyyy"/>
    </dxf>
    <dxf>
      <fill>
        <patternFill>
          <bgColor theme="1"/>
        </patternFill>
      </fill>
    </dxf>
  </dxfs>
  <tableStyles count="1" defaultTableStyle="TableStyleMedium2" defaultPivotStyle="PivotStyleLight16">
    <tableStyle name="Estilo de segmentación de datos 1" pivot="0" table="0" count="1" xr9:uid="{420301EE-5D63-446D-952D-474EAD169CB2}">
      <tableStyleElement type="wholeTable" dxfId="11"/>
    </tableStyle>
  </tableStyle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1/relationships/timelineCache" Target="timelineCaches/timelineCach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[2809.xlsx]Hoja1!TablaDinámica17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35870516185477"/>
          <c:y val="0.15638670166229221"/>
          <c:w val="0.37038320209973752"/>
          <c:h val="0.5604039078448527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Hoja1!$H$31:$H$32</c:f>
              <c:strCache>
                <c:ptCount val="1"/>
                <c:pt idx="0">
                  <c:v>Electrodomésticos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Hoja1!$G$33:$G$34</c:f>
              <c:strCache>
                <c:ptCount val="1"/>
                <c:pt idx="0">
                  <c:v>VEND001</c:v>
                </c:pt>
              </c:strCache>
            </c:strRef>
          </c:cat>
          <c:val>
            <c:numRef>
              <c:f>Hoja1!$H$33:$H$34</c:f>
              <c:numCache>
                <c:formatCode>General</c:formatCode>
                <c:ptCount val="1"/>
                <c:pt idx="0">
                  <c:v>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C-4A9E-B402-23633BF8BB4F}"/>
            </c:ext>
          </c:extLst>
        </c:ser>
        <c:ser>
          <c:idx val="1"/>
          <c:order val="1"/>
          <c:tx>
            <c:strRef>
              <c:f>Hoja1!$I$31:$I$32</c:f>
              <c:strCache>
                <c:ptCount val="1"/>
                <c:pt idx="0">
                  <c:v>Electrónicos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Hoja1!$G$33:$G$34</c:f>
              <c:strCache>
                <c:ptCount val="1"/>
                <c:pt idx="0">
                  <c:v>VEND001</c:v>
                </c:pt>
              </c:strCache>
            </c:strRef>
          </c:cat>
          <c:val>
            <c:numRef>
              <c:f>Hoja1!$I$33:$I$34</c:f>
              <c:numCache>
                <c:formatCode>General</c:formatCode>
                <c:ptCount val="1"/>
                <c:pt idx="0">
                  <c:v>259998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BC-4A9E-B402-23633BF8B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9279"/>
        <c:axId val="330359"/>
        <c:axId val="12856199"/>
      </c:bar3DChart>
      <c:catAx>
        <c:axId val="32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0359"/>
        <c:crosses val="autoZero"/>
        <c:auto val="1"/>
        <c:lblAlgn val="ctr"/>
        <c:lblOffset val="100"/>
        <c:noMultiLvlLbl val="0"/>
      </c:catAx>
      <c:valAx>
        <c:axId val="330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9279"/>
        <c:crosses val="autoZero"/>
        <c:crossBetween val="between"/>
      </c:valAx>
      <c:serAx>
        <c:axId val="12856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035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885825</xdr:colOff>
      <xdr:row>19</xdr:row>
      <xdr:rowOff>66675</xdr:rowOff>
    </xdr:from>
    <xdr:to>
      <xdr:col>7</xdr:col>
      <xdr:colOff>314325</xdr:colOff>
      <xdr:row>26</xdr:row>
      <xdr:rowOff>104775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Fecha de Venta">
              <a:extLst>
                <a:ext uri="{FF2B5EF4-FFF2-40B4-BE49-F238E27FC236}">
                  <a16:creationId xmlns:a16="http://schemas.microsoft.com/office/drawing/2014/main" id="{D50EF5A3-A975-154B-3CAF-A01A6DF0F9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de Ven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8350" y="36861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1</xdr:col>
      <xdr:colOff>533400</xdr:colOff>
      <xdr:row>23</xdr:row>
      <xdr:rowOff>157162</xdr:rowOff>
    </xdr:from>
    <xdr:to>
      <xdr:col>5</xdr:col>
      <xdr:colOff>161925</xdr:colOff>
      <xdr:row>38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C6C20C-87FA-B929-7B48-C64BDF473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819150</xdr:colOff>
      <xdr:row>12</xdr:row>
      <xdr:rowOff>161925</xdr:rowOff>
    </xdr:from>
    <xdr:to>
      <xdr:col>3</xdr:col>
      <xdr:colOff>1171575</xdr:colOff>
      <xdr:row>19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Vendedor">
              <a:extLst>
                <a:ext uri="{FF2B5EF4-FFF2-40B4-BE49-F238E27FC236}">
                  <a16:creationId xmlns:a16="http://schemas.microsoft.com/office/drawing/2014/main" id="{402FBBEF-95C8-5007-4FB9-18CB0FA8EA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2447925"/>
              <a:ext cx="1828800" cy="1228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fino Prieto Alonso" refreshedDate="46323.455666203707" createdVersion="8" refreshedVersion="8" minRefreshableVersion="3" recordCount="11" xr:uid="{4D0ACBB7-956E-4786-AD7D-218789821744}">
  <cacheSource type="worksheet">
    <worksheetSource name="Edades"/>
  </cacheSource>
  <cacheFields count="2">
    <cacheField name="Nombre" numFmtId="0">
      <sharedItems/>
    </cacheField>
    <cacheField name="Edad" numFmtId="1">
      <sharedItems containsSemiMixedTypes="0" containsString="0" containsNumber="1" containsInteger="1" minValue="18" maxValue="74" count="11">
        <n v="24"/>
        <n v="34"/>
        <n v="33"/>
        <n v="21"/>
        <n v="45"/>
        <n v="66"/>
        <n v="55"/>
        <n v="41"/>
        <n v="74"/>
        <n v="18"/>
        <n v="22"/>
      </sharedItems>
      <fieldGroup base="1">
        <rangePr startNum="18" endNum="74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fino Prieto Alonso" refreshedDate="46323.461398148145" backgroundQuery="1" createdVersion="8" refreshedVersion="8" minRefreshableVersion="3" recordCount="0" supportSubquery="1" supportAdvancedDrill="1" xr:uid="{C3D7B50E-CAC7-4815-99A5-5600A8400215}">
  <cacheSource type="external" connectionId="1"/>
  <cacheFields count="3">
    <cacheField name="[Measures].[Suma de Total de la Venta]" caption="Suma de Total de la Venta" numFmtId="0" hierarchy="16" level="32767"/>
    <cacheField name="[Ventas].[Vendedor].[Vendedor]" caption="Vendedor" numFmtId="0" hierarchy="10" level="1">
      <sharedItems count="1">
        <s v="VEND001"/>
      </sharedItems>
    </cacheField>
    <cacheField name="[Ventas].[Categoría del Producto].[Categoría del Producto]" caption="Categoría del Producto" numFmtId="0" hierarchy="11" level="1">
      <sharedItems count="4">
        <s v="Electrodomésticos"/>
        <s v="Electrónicos"/>
        <s v="Ropa y calzado" u="1"/>
        <s v="Libros" u="1"/>
      </sharedItems>
    </cacheField>
  </cacheFields>
  <cacheHierarchies count="20">
    <cacheHierarchy uniqueName="[Ventas].[Fecha de Venta]" caption="Fecha de Venta" attribute="1" time="1" defaultMemberUniqueName="[Ventas].[Fecha de Venta].[All]" allUniqueName="[Ventas].[Fecha de Venta].[All]" dimensionUniqueName="[Ventas]" displayFolder="" count="2" memberValueDatatype="7" unbalanced="0"/>
    <cacheHierarchy uniqueName="[Ventas].[ID del Producto]" caption="ID del Producto" attribute="1" defaultMemberUniqueName="[Ventas].[ID del Producto].[All]" allUniqueName="[Ventas].[ID del Producto].[All]" dimensionUniqueName="[Ventas]" displayFolder="" count="2" memberValueDatatype="130" unbalanced="0"/>
    <cacheHierarchy uniqueName="[Ventas].[Nombre del Producto]" caption="Nombre del Producto" attribute="1" defaultMemberUniqueName="[Ventas].[Nombre del Producto].[All]" allUniqueName="[Ventas].[Nombre del Producto].[All]" dimensionUniqueName="[Ventas]" displayFolder="" count="2" memberValueDatatype="130" unbalanced="0"/>
    <cacheHierarchy uniqueName="[Ventas].[Cantidad Vendida]" caption="Cantidad Vendida" attribute="1" defaultMemberUniqueName="[Ventas].[Cantidad Vendida].[All]" allUniqueName="[Ventas].[Cantidad Vendida].[All]" dimensionUniqueName="[Ventas]" displayFolder="" count="2" memberValueDatatype="2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2" memberValueDatatype="20" unbalanced="0"/>
    <cacheHierarchy uniqueName="[Ventas].[Total de la Venta]" caption="Total de la Venta" attribute="1" defaultMemberUniqueName="[Ventas].[Total de la Venta].[All]" allUniqueName="[Ventas].[Total de la Venta].[All]" dimensionUniqueName="[Ventas]" displayFolder="" count="2" memberValueDatatype="20" unbalanced="0"/>
    <cacheHierarchy uniqueName="[Ventas].[ID del Cliente]" caption="ID del Cliente" attribute="1" defaultMemberUniqueName="[Ventas].[ID del Cliente].[All]" allUniqueName="[Ventas].[ID del Cliente].[All]" dimensionUniqueName="[Ventas]" displayFolder="" count="2" memberValueDatatype="130" unbalanced="0"/>
    <cacheHierarchy uniqueName="[Ventas].[Nombre del Cliente]" caption="Nombre del Cliente" attribute="1" defaultMemberUniqueName="[Ventas].[Nombre del Cliente].[All]" allUniqueName="[Ventas].[Nombre del Cliente].[All]" dimensionUniqueName="[Ventas]" displayFolder="" count="2" memberValueDatatype="130" unbalanced="0"/>
    <cacheHierarchy uniqueName="[Ventas].[Región o Ubicación]" caption="Región o Ubicación" attribute="1" defaultMemberUniqueName="[Ventas].[Región o Ubicación].[All]" allUniqueName="[Ventas].[Región o Ubicación].[All]" dimensionUniqueName="[Ventas]" displayFolder="" count="2" memberValueDatatype="130" unbalanced="0"/>
    <cacheHierarchy uniqueName="[Ventas].[Método de Pago]" caption="Método de Pago" attribute="1" defaultMemberUniqueName="[Ventas].[Método de Pago].[All]" allUniqueName="[Ventas].[Método de Pago].[All]" dimensionUniqueName="[Ventas]" displayFolder="" count="2" memberValueDatatype="130" unbalanced="0"/>
    <cacheHierarchy uniqueName="[Ventas].[Vendedor]" caption="Vendedor" attribute="1" defaultMemberUniqueName="[Ventas].[Vendedor].[All]" allUniqueName="[Ventas].[Vendedor].[All]" dimensionUniqueName="[Ventas]" displayFolder="" count="2" memberValueDatatype="130" unbalanced="0">
      <fieldsUsage count="2">
        <fieldUsage x="-1"/>
        <fieldUsage x="1"/>
      </fieldsUsage>
    </cacheHierarchy>
    <cacheHierarchy uniqueName="[Ventas].[Categoría del Producto]" caption="Categoría del Producto" attribute="1" defaultMemberUniqueName="[Ventas].[Categoría del Producto].[All]" allUniqueName="[Ventas].[Categoría del Producto].[All]" dimensionUniqueName="[Ventas]" displayFolder="" count="2" memberValueDatatype="130" unbalanced="0">
      <fieldsUsage count="2">
        <fieldUsage x="-1"/>
        <fieldUsage x="2"/>
      </fieldsUsage>
    </cacheHierarchy>
    <cacheHierarchy uniqueName="[Ventas].[Costo del Producto]" caption="Costo del Producto" attribute="1" defaultMemberUniqueName="[Ventas].[Costo del Producto].[All]" allUniqueName="[Ventas].[Costo del Producto].[All]" dimensionUniqueName="[Ventas]" displayFolder="" count="2" memberValueDatatype="20" unbalanced="0"/>
    <cacheHierarchy uniqueName="[Ventas].[Margen de Beneficio]" caption="Margen de Beneficio" attribute="1" defaultMemberUniqueName="[Ventas].[Margen de Beneficio].[All]" allUniqueName="[Ventas].[Margen de Beneficio].[All]" dimensionUniqueName="[Ventas]" displayFolder="" count="2" memberValueDatatype="20" unbalanced="0"/>
    <cacheHierarchy uniqueName="[Measures].[__XL_Count Ventas]" caption="__XL_Count Ventas" measure="1" displayFolder="" measureGroup="Ventas" count="0" hidden="1"/>
    <cacheHierarchy uniqueName="[Measures].[__No measures defined]" caption="__No measures defined" measure="1" displayFolder="" count="0" hidden="1"/>
    <cacheHierarchy uniqueName="[Measures].[Suma de Total de la Venta]" caption="Suma de Total de la Venta" measure="1" displayFolder="" measureGroup="Ven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osto del Producto]" caption="Suma de Costo del Producto" measure="1" displayFolder="" measureGroup="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Margen de Beneficio]" caption="Suma de Margen de Beneficio" measure="1" displayFolder="" measureGroup="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Cantidad Vendida]" caption="Suma de Cantidad Vendida" measure="1" displayFolder="" measureGroup="Vent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Ventas" uniqueName="[Ventas]" caption="Ventas"/>
  </dimensions>
  <measureGroups count="1">
    <measureGroup name="Ventas" caption="Vent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fino Prieto Alonso" refreshedDate="46323.460996875001" backgroundQuery="1" createdVersion="3" refreshedVersion="8" minRefreshableVersion="3" recordCount="0" supportSubquery="1" supportAdvancedDrill="1" xr:uid="{2EF38D61-7816-4237-AE0D-832D20403FA9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0">
    <cacheHierarchy uniqueName="[Ventas].[Fecha de Venta]" caption="Fecha de Venta" attribute="1" time="1" defaultMemberUniqueName="[Ventas].[Fecha de Venta].[All]" allUniqueName="[Ventas].[Fecha de Venta].[All]" dimensionUniqueName="[Ventas]" displayFolder="" count="0" memberValueDatatype="7" unbalanced="0"/>
    <cacheHierarchy uniqueName="[Ventas].[ID del Producto]" caption="ID del Producto" attribute="1" defaultMemberUniqueName="[Ventas].[ID del Producto].[All]" allUniqueName="[Ventas].[ID del Producto].[All]" dimensionUniqueName="[Ventas]" displayFolder="" count="0" memberValueDatatype="130" unbalanced="0"/>
    <cacheHierarchy uniqueName="[Ventas].[Nombre del Producto]" caption="Nombre del Producto" attribute="1" defaultMemberUniqueName="[Ventas].[Nombre del Producto].[All]" allUniqueName="[Ventas].[Nombre del Producto].[All]" dimensionUniqueName="[Ventas]" displayFolder="" count="0" memberValueDatatype="130" unbalanced="0"/>
    <cacheHierarchy uniqueName="[Ventas].[Cantidad Vendida]" caption="Cantidad Vendida" attribute="1" defaultMemberUniqueName="[Ventas].[Cantidad Vendida].[All]" allUniqueName="[Ventas].[Cantidad Vendida].[All]" dimensionUniqueName="[Ventas]" displayFolder="" count="0" memberValueDatatype="2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20" unbalanced="0"/>
    <cacheHierarchy uniqueName="[Ventas].[Total de la Venta]" caption="Total de la Venta" attribute="1" defaultMemberUniqueName="[Ventas].[Total de la Venta].[All]" allUniqueName="[Ventas].[Total de la Venta].[All]" dimensionUniqueName="[Ventas]" displayFolder="" count="0" memberValueDatatype="20" unbalanced="0"/>
    <cacheHierarchy uniqueName="[Ventas].[ID del Cliente]" caption="ID del Cliente" attribute="1" defaultMemberUniqueName="[Ventas].[ID del Cliente].[All]" allUniqueName="[Ventas].[ID del Cliente].[All]" dimensionUniqueName="[Ventas]" displayFolder="" count="0" memberValueDatatype="130" unbalanced="0"/>
    <cacheHierarchy uniqueName="[Ventas].[Nombre del Cliente]" caption="Nombre del Cliente" attribute="1" defaultMemberUniqueName="[Ventas].[Nombre del Cliente].[All]" allUniqueName="[Ventas].[Nombre del Cliente].[All]" dimensionUniqueName="[Ventas]" displayFolder="" count="0" memberValueDatatype="130" unbalanced="0"/>
    <cacheHierarchy uniqueName="[Ventas].[Región o Ubicación]" caption="Región o Ubicación" attribute="1" defaultMemberUniqueName="[Ventas].[Región o Ubicación].[All]" allUniqueName="[Ventas].[Región o Ubicación].[All]" dimensionUniqueName="[Ventas]" displayFolder="" count="0" memberValueDatatype="130" unbalanced="0"/>
    <cacheHierarchy uniqueName="[Ventas].[Método de Pago]" caption="Método de Pago" attribute="1" defaultMemberUniqueName="[Ventas].[Método de Pago].[All]" allUniqueName="[Ventas].[Método de Pago].[All]" dimensionUniqueName="[Ventas]" displayFolder="" count="0" memberValueDatatype="130" unbalanced="0"/>
    <cacheHierarchy uniqueName="[Ventas].[Vendedor]" caption="Vendedor" attribute="1" defaultMemberUniqueName="[Ventas].[Vendedor].[All]" allUniqueName="[Ventas].[Vendedor].[All]" dimensionUniqueName="[Ventas]" displayFolder="" count="2" memberValueDatatype="130" unbalanced="0"/>
    <cacheHierarchy uniqueName="[Ventas].[Categoría del Producto]" caption="Categoría del Producto" attribute="1" defaultMemberUniqueName="[Ventas].[Categoría del Producto].[All]" allUniqueName="[Ventas].[Categoría del Producto].[All]" dimensionUniqueName="[Ventas]" displayFolder="" count="0" memberValueDatatype="130" unbalanced="0"/>
    <cacheHierarchy uniqueName="[Ventas].[Costo del Producto]" caption="Costo del Producto" attribute="1" defaultMemberUniqueName="[Ventas].[Costo del Producto].[All]" allUniqueName="[Ventas].[Costo del Producto].[All]" dimensionUniqueName="[Ventas]" displayFolder="" count="0" memberValueDatatype="20" unbalanced="0"/>
    <cacheHierarchy uniqueName="[Ventas].[Margen de Beneficio]" caption="Margen de Beneficio" attribute="1" defaultMemberUniqueName="[Ventas].[Margen de Beneficio].[All]" allUniqueName="[Ventas].[Margen de Beneficio].[All]" dimensionUniqueName="[Ventas]" displayFolder="" count="0" memberValueDatatype="20" unbalanced="0"/>
    <cacheHierarchy uniqueName="[Measures].[__XL_Count Ventas]" caption="__XL_Count Ventas" measure="1" displayFolder="" measureGroup="Ventas" count="0" hidden="1"/>
    <cacheHierarchy uniqueName="[Measures].[__No measures defined]" caption="__No measures defined" measure="1" displayFolder="" count="0" hidden="1"/>
    <cacheHierarchy uniqueName="[Measures].[Suma de Total de la Venta]" caption="Suma de Total de la Venta" measure="1" displayFolder="" measureGroup="Ven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osto del Producto]" caption="Suma de Costo del Producto" measure="1" displayFolder="" measureGroup="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Margen de Beneficio]" caption="Suma de Margen de Beneficio" measure="1" displayFolder="" measureGroup="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Cantidad Vendida]" caption="Suma de Cantidad Vendida" measure="1" displayFolder="" measureGroup="Vent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16109464"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ufino Prieto Alonso" refreshedDate="46323.417536458335" backgroundQuery="1" createdVersion="3" refreshedVersion="8" minRefreshableVersion="3" recordCount="0" supportSubquery="1" supportAdvancedDrill="1" xr:uid="{280C22FA-8230-4C3D-8641-4B38A2FADFE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0">
    <cacheHierarchy uniqueName="[Ventas].[Fecha de Venta]" caption="Fecha de Venta" attribute="1" time="1" defaultMemberUniqueName="[Ventas].[Fecha de Venta].[All]" allUniqueName="[Ventas].[Fecha de Venta].[All]" dimensionUniqueName="[Ventas]" displayFolder="" count="0" memberValueDatatype="7" unbalanced="0"/>
    <cacheHierarchy uniqueName="[Ventas].[ID del Producto]" caption="ID del Producto" attribute="1" defaultMemberUniqueName="[Ventas].[ID del Producto].[All]" allUniqueName="[Ventas].[ID del Producto].[All]" dimensionUniqueName="[Ventas]" displayFolder="" count="0" memberValueDatatype="130" unbalanced="0"/>
    <cacheHierarchy uniqueName="[Ventas].[Nombre del Producto]" caption="Nombre del Producto" attribute="1" defaultMemberUniqueName="[Ventas].[Nombre del Producto].[All]" allUniqueName="[Ventas].[Nombre del Producto].[All]" dimensionUniqueName="[Ventas]" displayFolder="" count="0" memberValueDatatype="130" unbalanced="0"/>
    <cacheHierarchy uniqueName="[Ventas].[Cantidad Vendida]" caption="Cantidad Vendida" attribute="1" defaultMemberUniqueName="[Ventas].[Cantidad Vendida].[All]" allUniqueName="[Ventas].[Cantidad Vendida].[All]" dimensionUniqueName="[Ventas]" displayFolder="" count="0" memberValueDatatype="20" unbalanced="0"/>
    <cacheHierarchy uniqueName="[Ventas].[Precio Unitario]" caption="Precio Unitario" attribute="1" defaultMemberUniqueName="[Ventas].[Precio Unitario].[All]" allUniqueName="[Ventas].[Precio Unitario].[All]" dimensionUniqueName="[Ventas]" displayFolder="" count="0" memberValueDatatype="20" unbalanced="0"/>
    <cacheHierarchy uniqueName="[Ventas].[Total de la Venta]" caption="Total de la Venta" attribute="1" defaultMemberUniqueName="[Ventas].[Total de la Venta].[All]" allUniqueName="[Ventas].[Total de la Venta].[All]" dimensionUniqueName="[Ventas]" displayFolder="" count="0" memberValueDatatype="20" unbalanced="0"/>
    <cacheHierarchy uniqueName="[Ventas].[ID del Cliente]" caption="ID del Cliente" attribute="1" defaultMemberUniqueName="[Ventas].[ID del Cliente].[All]" allUniqueName="[Ventas].[ID del Cliente].[All]" dimensionUniqueName="[Ventas]" displayFolder="" count="0" memberValueDatatype="130" unbalanced="0"/>
    <cacheHierarchy uniqueName="[Ventas].[Nombre del Cliente]" caption="Nombre del Cliente" attribute="1" defaultMemberUniqueName="[Ventas].[Nombre del Cliente].[All]" allUniqueName="[Ventas].[Nombre del Cliente].[All]" dimensionUniqueName="[Ventas]" displayFolder="" count="0" memberValueDatatype="130" unbalanced="0"/>
    <cacheHierarchy uniqueName="[Ventas].[Región o Ubicación]" caption="Región o Ubicación" attribute="1" defaultMemberUniqueName="[Ventas].[Región o Ubicación].[All]" allUniqueName="[Ventas].[Región o Ubicación].[All]" dimensionUniqueName="[Ventas]" displayFolder="" count="0" memberValueDatatype="130" unbalanced="0"/>
    <cacheHierarchy uniqueName="[Ventas].[Método de Pago]" caption="Método de Pago" attribute="1" defaultMemberUniqueName="[Ventas].[Método de Pago].[All]" allUniqueName="[Ventas].[Método de Pago].[All]" dimensionUniqueName="[Ventas]" displayFolder="" count="0" memberValueDatatype="130" unbalanced="0"/>
    <cacheHierarchy uniqueName="[Ventas].[Vendedor]" caption="Vendedor" attribute="1" defaultMemberUniqueName="[Ventas].[Vendedor].[All]" allUniqueName="[Ventas].[Vendedor].[All]" dimensionUniqueName="[Ventas]" displayFolder="" count="0" memberValueDatatype="130" unbalanced="0"/>
    <cacheHierarchy uniqueName="[Ventas].[Categoría del Producto]" caption="Categoría del Producto" attribute="1" defaultMemberUniqueName="[Ventas].[Categoría del Producto].[All]" allUniqueName="[Ventas].[Categoría del Producto].[All]" dimensionUniqueName="[Ventas]" displayFolder="" count="0" memberValueDatatype="130" unbalanced="0"/>
    <cacheHierarchy uniqueName="[Ventas].[Costo del Producto]" caption="Costo del Producto" attribute="1" defaultMemberUniqueName="[Ventas].[Costo del Producto].[All]" allUniqueName="[Ventas].[Costo del Producto].[All]" dimensionUniqueName="[Ventas]" displayFolder="" count="0" memberValueDatatype="20" unbalanced="0"/>
    <cacheHierarchy uniqueName="[Ventas].[Margen de Beneficio]" caption="Margen de Beneficio" attribute="1" defaultMemberUniqueName="[Ventas].[Margen de Beneficio].[All]" allUniqueName="[Ventas].[Margen de Beneficio].[All]" dimensionUniqueName="[Ventas]" displayFolder="" count="0" memberValueDatatype="20" unbalanced="0"/>
    <cacheHierarchy uniqueName="[Measures].[__XL_Count Ventas]" caption="__XL_Count Ventas" measure="1" displayFolder="" measureGroup="Ventas" count="0" hidden="1"/>
    <cacheHierarchy uniqueName="[Measures].[__No measures defined]" caption="__No measures defined" measure="1" displayFolder="" count="0" hidden="1"/>
    <cacheHierarchy uniqueName="[Measures].[Suma de Total de la Venta]" caption="Suma de Total de la Venta" measure="1" displayFolder="" measureGroup="Vent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osto del Producto]" caption="Suma de Costo del Producto" measure="1" displayFolder="" measureGroup="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Margen de Beneficio]" caption="Suma de Margen de Beneficio" measure="1" displayFolder="" measureGroup="Venta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Cantidad Vendida]" caption="Suma de Cantidad Vendida" measure="1" displayFolder="" measureGroup="Vent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Ventas" uniqueName="[Ventas]" caption="Ventas"/>
  </dimensions>
  <measureGroups count="1">
    <measureGroup name="Ventas" caption="Ventas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62942641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Antonio Román"/>
    <x v="0"/>
  </r>
  <r>
    <s v="Elisa Mantilla"/>
    <x v="1"/>
  </r>
  <r>
    <s v="Genoveva Pablos"/>
    <x v="2"/>
  </r>
  <r>
    <s v="Lucas Pérez"/>
    <x v="3"/>
  </r>
  <r>
    <s v="Pedro Martín"/>
    <x v="4"/>
  </r>
  <r>
    <s v="Laura Santos"/>
    <x v="5"/>
  </r>
  <r>
    <s v="Lola Nisu"/>
    <x v="6"/>
  </r>
  <r>
    <s v="Germán Abadia"/>
    <x v="7"/>
  </r>
  <r>
    <s v="Raúl López"/>
    <x v="8"/>
  </r>
  <r>
    <s v="Sandra Varas"/>
    <x v="9"/>
  </r>
  <r>
    <s v="Juan Valdes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6A89C-C386-4565-9A51-5C0CAE906358}" name="TablaDinámica17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31:J34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2"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a de Total de la Venta" fld="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2!Ventas"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9C3FA-1373-4F8F-A49C-A5312FF3BE77}" name="TablaDinámica16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6:G13" firstHeaderRow="1" firstDataRow="1" firstDataCol="1"/>
  <pivotFields count="2">
    <pivotField showAll="0"/>
    <pivotField axis="axisRow" dataField="1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Edad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4F7D2504-9C84-42CE-A2AB-E764544C8D7A}" sourceName="[Ventas].[Vendedor]">
  <pivotTables>
    <pivotTable tabId="1" name="TablaDinámica17"/>
  </pivotTables>
  <data>
    <olap pivotCacheId="1416109464">
      <levels count="2">
        <level uniqueName="[Ventas].[Vendedor].[(All)]" sourceCaption="(All)" count="0"/>
        <level uniqueName="[Ventas].[Vendedor].[Vendedor]" sourceCaption="Vendedor" count="3">
          <ranges>
            <range startItem="0">
              <i n="[Ventas].[Vendedor].&amp;[VEND001]" c="VEND001"/>
              <i n="[Ventas].[Vendedor].&amp;[VEND002]" c="VEND002"/>
              <i n="[Ventas].[Vendedor].&amp;[VEND003]" c="VEND003"/>
            </range>
          </ranges>
        </level>
      </levels>
      <selections count="1">
        <selection n="[Ventas].[Vendedor].&amp;[VEND001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CB5FDDCA-2BC0-4AB5-8B79-AA1612CA347C}" cache="SegmentaciónDeDatos_Vendedor" caption="Vendedor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81EC5-BD52-4640-8FA6-36D7C7F2482F}" name="Ventas" displayName="Ventas" ref="A1:N7" totalsRowCount="1">
  <autoFilter ref="A1:N6" xr:uid="{BC781EC5-BD52-4640-8FA6-36D7C7F2482F}"/>
  <tableColumns count="14">
    <tableColumn id="1" xr3:uid="{53F5598C-DDB3-4D20-BF52-3D9BC290F79A}" name="Fecha de Venta" totalsRowLabel="Total" dataDxfId="10" totalsRowDxfId="9"/>
    <tableColumn id="2" xr3:uid="{48BF93E0-0E5B-44D0-9C21-0FB11BD00609}" name="ID del Producto" totalsRowFunction="sum"/>
    <tableColumn id="3" xr3:uid="{3A32DF1F-EC6C-4567-BE60-D2F25FBC2531}" name="Nombre del Producto" totalsRowFunction="sum"/>
    <tableColumn id="4" xr3:uid="{0B4582AF-7177-4466-ABCF-0CC23AB07B60}" name="Cantidad Vendida" totalsRowFunction="sum"/>
    <tableColumn id="5" xr3:uid="{4444CA61-65D5-4F56-81CA-5E813F3C1DF2}" name="Precio Unitario" totalsRowFunction="sum" dataDxfId="8" totalsRowDxfId="7"/>
    <tableColumn id="6" xr3:uid="{9AB561C7-69DA-4073-A882-2374E788E1A2}" name="Total de la Venta" totalsRowFunction="sum" dataDxfId="6" totalsRowDxfId="5">
      <calculatedColumnFormula>Ventas[[#This Row],[Cantidad Vendida]]*Ventas[[#This Row],[Precio Unitario]]</calculatedColumnFormula>
    </tableColumn>
    <tableColumn id="7" xr3:uid="{3AD51631-FC90-4C4B-8C16-59953C42889F}" name="ID del Cliente" totalsRowFunction="sum"/>
    <tableColumn id="8" xr3:uid="{DDC2E321-9179-48E8-96F8-C5E610C9267E}" name="Nombre del Cliente" totalsRowFunction="sum"/>
    <tableColumn id="9" xr3:uid="{0197805A-79C0-4677-A00F-9A379FF7AB19}" name="Región o Ubicación" totalsRowFunction="sum"/>
    <tableColumn id="10" xr3:uid="{7B8D5EA6-A8F6-4B21-A16A-232B80F56FF6}" name="Método de Pago" totalsRowFunction="sum"/>
    <tableColumn id="11" xr3:uid="{EBFD92FE-D1DD-4425-B12E-970EEB16F30F}" name="Vendedor" totalsRowFunction="sum"/>
    <tableColumn id="12" xr3:uid="{F5F5F615-39A8-4F56-B0A3-48CDA3615E80}" name="Categoría del Producto" totalsRowFunction="sum"/>
    <tableColumn id="13" xr3:uid="{5EACAD71-CE7B-41A2-AACC-658F7FBCB960}" name="Costo del Producto" totalsRowFunction="sum" dataDxfId="4" totalsRowDxfId="3"/>
    <tableColumn id="14" xr3:uid="{A1A71F93-E0E8-4F2F-A6D5-BC2673A0A087}" name="Margen de Beneficio" totalsRowFunction="sum" dataDxfId="2" totalsRowDxfId="1">
      <calculatedColumnFormula>Ventas[[#This Row],[Precio Unitario]]-Ventas[[#This Row],[Costo del Producto]]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2C7012-8B60-446B-B93B-4A7D372A3363}" name="Edades" displayName="Edades" ref="A1:B12" totalsRowShown="0">
  <autoFilter ref="A1:B12" xr:uid="{CC2C7012-8B60-446B-B93B-4A7D372A3363}"/>
  <sortState xmlns:xlrd2="http://schemas.microsoft.com/office/spreadsheetml/2017/richdata2" ref="A2:B6">
    <sortCondition ref="A2:A6"/>
  </sortState>
  <tableColumns count="2">
    <tableColumn id="1" xr3:uid="{72BDF602-AF67-4E6D-9829-1DD8F423B613}" name="Nombre"/>
    <tableColumn id="2" xr3:uid="{B44EEFCD-EC82-46D5-B4C9-ED720FDAD17C}" name="Eda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_de_Venta" xr10:uid="{21DA66B3-D3E4-468F-830E-D560FA29A847}" sourceName="[Ventas].[Fecha de Venta]">
  <state minimalRefreshVersion="6" lastRefreshVersion="6" pivotCacheId="629426410" filterType="unknown"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de Venta" xr10:uid="{53AC79E3-CFC6-49B0-BC87-28E560367A9B}" cache="Timeline_Fecha_de_Venta" caption="Fecha de Venta" level="2" selectionLevel="2" scrollPosition="2023-05-29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FF13-73A5-480B-A868-620C5C183AA1}">
  <dimension ref="A1:N34"/>
  <sheetViews>
    <sheetView workbookViewId="0">
      <selection activeCell="C3" sqref="C3"/>
    </sheetView>
  </sheetViews>
  <sheetFormatPr baseColWidth="10" defaultRowHeight="15" x14ac:dyDescent="0.25"/>
  <cols>
    <col min="1" max="1" width="16.7109375" style="2" customWidth="1"/>
    <col min="2" max="2" width="16.7109375" customWidth="1"/>
    <col min="3" max="3" width="22.140625" customWidth="1"/>
    <col min="4" max="4" width="18.85546875" customWidth="1"/>
    <col min="5" max="5" width="16.42578125" style="1" customWidth="1"/>
    <col min="6" max="6" width="18" style="1" customWidth="1"/>
    <col min="7" max="7" width="24.140625" bestFit="1" customWidth="1"/>
    <col min="8" max="8" width="22.42578125" bestFit="1" customWidth="1"/>
    <col min="9" max="9" width="11.7109375" bestFit="1" customWidth="1"/>
    <col min="10" max="10" width="12.5703125" bestFit="1" customWidth="1"/>
    <col min="11" max="11" width="13.85546875" bestFit="1" customWidth="1"/>
    <col min="12" max="12" width="12.5703125" bestFit="1" customWidth="1"/>
    <col min="13" max="13" width="19.85546875" style="1" customWidth="1"/>
    <col min="14" max="14" width="21.5703125" style="1" customWidth="1"/>
  </cols>
  <sheetData>
    <row r="1" spans="1:14" x14ac:dyDescent="0.25">
      <c r="A1" s="2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</row>
    <row r="2" spans="1:14" x14ac:dyDescent="0.25">
      <c r="A2" s="2">
        <v>45170</v>
      </c>
      <c r="B2" t="s">
        <v>14</v>
      </c>
      <c r="C2" t="s">
        <v>15</v>
      </c>
      <c r="D2">
        <v>2</v>
      </c>
      <c r="E2" s="1">
        <v>129999</v>
      </c>
      <c r="F2" s="1">
        <f>Ventas[[#This Row],[Cantidad Vendida]]*Ventas[[#This Row],[Precio Unitario]]</f>
        <v>259998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s="1">
        <v>100000</v>
      </c>
      <c r="N2" s="1">
        <f>Ventas[[#This Row],[Precio Unitario]]-Ventas[[#This Row],[Costo del Producto]]</f>
        <v>29999</v>
      </c>
    </row>
    <row r="3" spans="1:14" x14ac:dyDescent="0.25">
      <c r="A3" s="2">
        <v>45171</v>
      </c>
      <c r="B3" t="s">
        <v>22</v>
      </c>
      <c r="C3" t="s">
        <v>23</v>
      </c>
      <c r="D3">
        <v>3</v>
      </c>
      <c r="E3" s="1">
        <v>89999</v>
      </c>
      <c r="F3" s="1">
        <f>Ventas[[#This Row],[Cantidad Vendida]]*Ventas[[#This Row],[Precio Unitario]]</f>
        <v>269997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21</v>
      </c>
      <c r="M3" s="1">
        <v>70000</v>
      </c>
      <c r="N3" s="1">
        <f>Ventas[[#This Row],[Precio Unitario]]-Ventas[[#This Row],[Costo del Producto]]</f>
        <v>19999</v>
      </c>
    </row>
    <row r="4" spans="1:14" x14ac:dyDescent="0.25">
      <c r="A4" s="2">
        <v>45172</v>
      </c>
      <c r="B4" t="s">
        <v>29</v>
      </c>
      <c r="C4" t="s">
        <v>30</v>
      </c>
      <c r="D4">
        <v>5</v>
      </c>
      <c r="E4" s="1">
        <v>12999</v>
      </c>
      <c r="F4" s="1">
        <f>Ventas[[#This Row],[Cantidad Vendida]]*Ventas[[#This Row],[Precio Unitario]]</f>
        <v>64995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s="1">
        <v>8000</v>
      </c>
      <c r="N4" s="1">
        <f>Ventas[[#This Row],[Precio Unitario]]-Ventas[[#This Row],[Costo del Producto]]</f>
        <v>4999</v>
      </c>
    </row>
    <row r="5" spans="1:14" x14ac:dyDescent="0.25">
      <c r="A5" s="2">
        <v>45173</v>
      </c>
      <c r="B5" t="s">
        <v>37</v>
      </c>
      <c r="C5" t="s">
        <v>38</v>
      </c>
      <c r="D5">
        <v>1</v>
      </c>
      <c r="E5" s="1">
        <v>7999</v>
      </c>
      <c r="F5" s="1">
        <f>Ventas[[#This Row],[Cantidad Vendida]]*Ventas[[#This Row],[Precio Unitario]]</f>
        <v>7999</v>
      </c>
      <c r="G5" t="s">
        <v>39</v>
      </c>
      <c r="H5" t="s">
        <v>40</v>
      </c>
      <c r="I5" t="s">
        <v>41</v>
      </c>
      <c r="J5" t="s">
        <v>42</v>
      </c>
      <c r="K5" t="s">
        <v>20</v>
      </c>
      <c r="L5" t="s">
        <v>43</v>
      </c>
      <c r="M5" s="1">
        <v>5000</v>
      </c>
      <c r="N5" s="1">
        <f>Ventas[[#This Row],[Precio Unitario]]-Ventas[[#This Row],[Costo del Producto]]</f>
        <v>2999</v>
      </c>
    </row>
    <row r="6" spans="1:14" x14ac:dyDescent="0.25">
      <c r="A6" s="2">
        <v>45174</v>
      </c>
      <c r="B6" t="s">
        <v>44</v>
      </c>
      <c r="C6" t="s">
        <v>45</v>
      </c>
      <c r="D6">
        <v>10</v>
      </c>
      <c r="E6" s="1">
        <v>1599</v>
      </c>
      <c r="F6" s="1">
        <f>Ventas[[#This Row],[Cantidad Vendida]]*Ventas[[#This Row],[Precio Unitario]]</f>
        <v>15990</v>
      </c>
      <c r="G6" t="s">
        <v>46</v>
      </c>
      <c r="H6" t="s">
        <v>54</v>
      </c>
      <c r="I6" t="s">
        <v>47</v>
      </c>
      <c r="J6" t="s">
        <v>48</v>
      </c>
      <c r="K6" t="s">
        <v>28</v>
      </c>
      <c r="L6" t="s">
        <v>49</v>
      </c>
      <c r="M6" s="1">
        <v>1000</v>
      </c>
      <c r="N6" s="1">
        <f>Ventas[[#This Row],[Precio Unitario]]-Ventas[[#This Row],[Costo del Producto]]</f>
        <v>599</v>
      </c>
    </row>
    <row r="7" spans="1:14" x14ac:dyDescent="0.25">
      <c r="A7" s="2" t="s">
        <v>50</v>
      </c>
      <c r="B7">
        <f>SUBTOTAL(109,Ventas[ID del Producto])</f>
        <v>0</v>
      </c>
      <c r="C7">
        <f>SUBTOTAL(109,Ventas[Nombre del Producto])</f>
        <v>0</v>
      </c>
      <c r="D7">
        <f>SUBTOTAL(109,Ventas[Cantidad Vendida])</f>
        <v>21</v>
      </c>
      <c r="E7" s="1">
        <f>SUBTOTAL(109,Ventas[Precio Unitario])</f>
        <v>242595</v>
      </c>
      <c r="F7" s="1">
        <f>SUBTOTAL(109,Ventas[Total de la Venta])</f>
        <v>618979</v>
      </c>
      <c r="G7">
        <f>SUBTOTAL(109,Ventas[ID del Cliente])</f>
        <v>0</v>
      </c>
      <c r="H7">
        <f>SUBTOTAL(109,Ventas[Nombre del Cliente])</f>
        <v>0</v>
      </c>
      <c r="I7">
        <f>SUBTOTAL(109,Ventas[Región o Ubicación])</f>
        <v>0</v>
      </c>
      <c r="J7">
        <f>SUBTOTAL(109,Ventas[Método de Pago])</f>
        <v>0</v>
      </c>
      <c r="K7">
        <f>SUBTOTAL(109,Ventas[Vendedor])</f>
        <v>0</v>
      </c>
      <c r="L7">
        <f>SUBTOTAL(109,Ventas[Categoría del Producto])</f>
        <v>0</v>
      </c>
      <c r="M7" s="1">
        <f>SUBTOTAL(109,Ventas[Costo del Producto])</f>
        <v>184000</v>
      </c>
      <c r="N7" s="1">
        <f>SUBTOTAL(109,Ventas[Margen de Beneficio])</f>
        <v>58595</v>
      </c>
    </row>
    <row r="31" spans="7:10" x14ac:dyDescent="0.25">
      <c r="G31" s="3" t="s">
        <v>53</v>
      </c>
      <c r="H31" s="3" t="s">
        <v>55</v>
      </c>
    </row>
    <row r="32" spans="7:10" x14ac:dyDescent="0.25">
      <c r="G32" s="3" t="s">
        <v>51</v>
      </c>
      <c r="H32" t="s">
        <v>43</v>
      </c>
      <c r="I32" t="s">
        <v>21</v>
      </c>
      <c r="J32" t="s">
        <v>52</v>
      </c>
    </row>
    <row r="33" spans="7:10" x14ac:dyDescent="0.25">
      <c r="G33" s="4" t="s">
        <v>20</v>
      </c>
      <c r="H33">
        <v>7999</v>
      </c>
      <c r="I33">
        <v>259998</v>
      </c>
      <c r="J33">
        <v>267997</v>
      </c>
    </row>
    <row r="34" spans="7:10" x14ac:dyDescent="0.25">
      <c r="G34" s="4" t="s">
        <v>52</v>
      </c>
      <c r="H34">
        <v>7999</v>
      </c>
      <c r="I34">
        <v>259998</v>
      </c>
      <c r="J34">
        <v>267997</v>
      </c>
    </row>
  </sheetData>
  <conditionalFormatting sqref="N2">
    <cfRule type="iconSet" priority="2">
      <iconSet>
        <cfvo type="percent" val="0"/>
        <cfvo type="percent" val="33"/>
        <cfvo type="percent" val="67"/>
      </iconSet>
    </cfRule>
  </conditionalFormatting>
  <conditionalFormatting sqref="N2:N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2"/>
  <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FFBB-AE0C-41AA-8E8E-577F5C3A366E}">
  <dimension ref="A1:G13"/>
  <sheetViews>
    <sheetView workbookViewId="0">
      <selection activeCell="G20" sqref="G20"/>
    </sheetView>
  </sheetViews>
  <sheetFormatPr baseColWidth="10" defaultRowHeight="15" x14ac:dyDescent="0.25"/>
  <cols>
    <col min="6" max="6" width="17.5703125" bestFit="1" customWidth="1"/>
    <col min="7" max="7" width="14.7109375" bestFit="1" customWidth="1"/>
  </cols>
  <sheetData>
    <row r="1" spans="1:7" x14ac:dyDescent="0.25">
      <c r="A1" t="s">
        <v>56</v>
      </c>
      <c r="B1" t="s">
        <v>57</v>
      </c>
    </row>
    <row r="2" spans="1:7" x14ac:dyDescent="0.25">
      <c r="A2" t="s">
        <v>58</v>
      </c>
      <c r="B2" s="5">
        <v>24</v>
      </c>
    </row>
    <row r="3" spans="1:7" x14ac:dyDescent="0.25">
      <c r="A3" t="s">
        <v>59</v>
      </c>
      <c r="B3" s="5">
        <v>34</v>
      </c>
    </row>
    <row r="4" spans="1:7" x14ac:dyDescent="0.25">
      <c r="A4" t="s">
        <v>60</v>
      </c>
      <c r="B4" s="5">
        <v>33</v>
      </c>
    </row>
    <row r="5" spans="1:7" x14ac:dyDescent="0.25">
      <c r="A5" t="s">
        <v>61</v>
      </c>
      <c r="B5" s="5">
        <v>21</v>
      </c>
    </row>
    <row r="6" spans="1:7" x14ac:dyDescent="0.25">
      <c r="A6" t="s">
        <v>62</v>
      </c>
      <c r="B6" s="5">
        <v>45</v>
      </c>
      <c r="F6" s="3" t="s">
        <v>51</v>
      </c>
      <c r="G6" t="s">
        <v>69</v>
      </c>
    </row>
    <row r="7" spans="1:7" x14ac:dyDescent="0.25">
      <c r="A7" t="s">
        <v>63</v>
      </c>
      <c r="B7" s="5">
        <v>66</v>
      </c>
      <c r="F7" s="6" t="s">
        <v>70</v>
      </c>
      <c r="G7">
        <v>4</v>
      </c>
    </row>
    <row r="8" spans="1:7" x14ac:dyDescent="0.25">
      <c r="A8" t="s">
        <v>64</v>
      </c>
      <c r="B8" s="5">
        <v>55</v>
      </c>
      <c r="F8" s="6" t="s">
        <v>71</v>
      </c>
      <c r="G8">
        <v>2</v>
      </c>
    </row>
    <row r="9" spans="1:7" x14ac:dyDescent="0.25">
      <c r="A9" t="s">
        <v>65</v>
      </c>
      <c r="B9" s="5">
        <v>41</v>
      </c>
      <c r="F9" s="6" t="s">
        <v>72</v>
      </c>
      <c r="G9">
        <v>2</v>
      </c>
    </row>
    <row r="10" spans="1:7" x14ac:dyDescent="0.25">
      <c r="A10" t="s">
        <v>66</v>
      </c>
      <c r="B10" s="5">
        <v>74</v>
      </c>
      <c r="F10" s="6" t="s">
        <v>73</v>
      </c>
      <c r="G10">
        <v>1</v>
      </c>
    </row>
    <row r="11" spans="1:7" x14ac:dyDescent="0.25">
      <c r="A11" t="s">
        <v>67</v>
      </c>
      <c r="B11" s="5">
        <v>18</v>
      </c>
      <c r="F11" s="6" t="s">
        <v>74</v>
      </c>
      <c r="G11">
        <v>1</v>
      </c>
    </row>
    <row r="12" spans="1:7" x14ac:dyDescent="0.25">
      <c r="A12" t="s">
        <v>68</v>
      </c>
      <c r="B12" s="5">
        <v>22</v>
      </c>
      <c r="F12" s="6" t="s">
        <v>75</v>
      </c>
      <c r="G12">
        <v>1</v>
      </c>
    </row>
    <row r="13" spans="1:7" x14ac:dyDescent="0.25">
      <c r="F13" s="6" t="s">
        <v>52</v>
      </c>
      <c r="G13">
        <v>11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2F64-52CB-46CD-B1BB-8808ACA00182}">
  <dimension ref="A1:A3"/>
  <sheetViews>
    <sheetView tabSelected="1" workbookViewId="0">
      <selection activeCell="C2" sqref="C2"/>
    </sheetView>
  </sheetViews>
  <sheetFormatPr baseColWidth="10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Rangos de Edad</vt:lpstr>
      <vt:lpstr>txt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Rufino Prieto Alonso</dc:creator>
  <cp:lastModifiedBy>Rufino Prieto Alonso</cp:lastModifiedBy>
  <dcterms:created xsi:type="dcterms:W3CDTF">2026-10-28T08:12:19Z</dcterms:created>
  <dcterms:modified xsi:type="dcterms:W3CDTF">2026-10-28T15:10:27Z</dcterms:modified>
</cp:coreProperties>
</file>